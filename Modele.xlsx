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nugroupe-my.sharepoint.com/personal/ndeyesokhna_top_sunu-group_com/Documents/Bureau/Stage Rachid/Base FANAF/"/>
    </mc:Choice>
  </mc:AlternateContent>
  <xr:revisionPtr revIDLastSave="0" documentId="8_{501AEAC7-218D-41BC-938D-9F9C1431795C}" xr6:coauthVersionLast="47" xr6:coauthVersionMax="47" xr10:uidLastSave="{00000000-0000-0000-0000-000000000000}"/>
  <bookViews>
    <workbookView xWindow="-110" yWindow="-110" windowWidth="19420" windowHeight="11500" xr2:uid="{2CDECBC4-15DB-4B20-93D1-008309F808F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6" i="1" l="1"/>
  <c r="C66" i="1"/>
  <c r="D65" i="1"/>
  <c r="E65" i="1" s="1"/>
  <c r="C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C50" i="1"/>
  <c r="F47" i="1"/>
  <c r="D46" i="1"/>
  <c r="B46" i="1"/>
  <c r="F45" i="1"/>
  <c r="F44" i="1"/>
  <c r="F43" i="1"/>
  <c r="F42" i="1"/>
  <c r="F41" i="1"/>
  <c r="F40" i="1"/>
  <c r="F38" i="1"/>
  <c r="F37" i="1"/>
  <c r="F36" i="1"/>
  <c r="F35" i="1"/>
  <c r="F34" i="1"/>
  <c r="F33" i="1"/>
  <c r="B30" i="1"/>
  <c r="F27" i="1"/>
  <c r="D26" i="1"/>
  <c r="B26" i="1"/>
  <c r="F25" i="1"/>
  <c r="F24" i="1"/>
  <c r="F23" i="1"/>
  <c r="F22" i="1"/>
  <c r="F21" i="1"/>
  <c r="F20" i="1"/>
  <c r="F18" i="1"/>
  <c r="F17" i="1"/>
  <c r="F16" i="1"/>
  <c r="F15" i="1"/>
  <c r="F14" i="1"/>
  <c r="F13" i="1"/>
  <c r="D10" i="1"/>
  <c r="B6" i="1"/>
  <c r="F46" i="1" l="1"/>
  <c r="D48" i="1"/>
  <c r="E46" i="1"/>
  <c r="B48" i="1"/>
  <c r="C46" i="1"/>
  <c r="F26" i="1"/>
  <c r="D28" i="1"/>
  <c r="E26" i="1"/>
  <c r="B28" i="1"/>
  <c r="C26" i="1"/>
  <c r="D30" i="1"/>
  <c r="D50" i="1"/>
  <c r="E48" i="1" l="1"/>
  <c r="E36" i="1"/>
  <c r="E40" i="1"/>
  <c r="E34" i="1"/>
  <c r="E35" i="1"/>
  <c r="E37" i="1"/>
  <c r="E43" i="1"/>
  <c r="F48" i="1"/>
  <c r="E44" i="1"/>
  <c r="E45" i="1"/>
  <c r="E38" i="1"/>
  <c r="E33" i="1"/>
  <c r="E41" i="1"/>
  <c r="E42" i="1"/>
  <c r="E47" i="1"/>
  <c r="C43" i="1"/>
  <c r="C35" i="1"/>
  <c r="C44" i="1"/>
  <c r="C45" i="1"/>
  <c r="C34" i="1"/>
  <c r="C41" i="1"/>
  <c r="C42" i="1"/>
  <c r="C47" i="1"/>
  <c r="C48" i="1"/>
  <c r="C37" i="1"/>
  <c r="C38" i="1"/>
  <c r="C36" i="1"/>
  <c r="E13" i="1"/>
  <c r="E21" i="1"/>
  <c r="E28" i="1"/>
  <c r="E16" i="1"/>
  <c r="E17" i="1"/>
  <c r="E27" i="1"/>
  <c r="E20" i="1"/>
  <c r="E14" i="1"/>
  <c r="E22" i="1"/>
  <c r="E25" i="1"/>
  <c r="E15" i="1"/>
  <c r="E23" i="1"/>
  <c r="E24" i="1"/>
  <c r="F28" i="1"/>
  <c r="E18" i="1"/>
  <c r="C17" i="1"/>
  <c r="C23" i="1"/>
  <c r="C28" i="1"/>
  <c r="C24" i="1"/>
  <c r="C27" i="1"/>
  <c r="C16" i="1"/>
  <c r="C21" i="1"/>
  <c r="C22" i="1"/>
  <c r="C15" i="1"/>
  <c r="C14" i="1"/>
  <c r="C18" i="1"/>
  <c r="C25" i="1"/>
</calcChain>
</file>

<file path=xl/sharedStrings.xml><?xml version="1.0" encoding="utf-8"?>
<sst xmlns="http://schemas.openxmlformats.org/spreadsheetml/2006/main" count="79" uniqueCount="50">
  <si>
    <t>NOM DE LA SOCIETE</t>
  </si>
  <si>
    <t>ATLANTIQUE ASSURANCE BENIN VIE</t>
  </si>
  <si>
    <t>Pays</t>
  </si>
  <si>
    <t>BENIN</t>
  </si>
  <si>
    <t>Nom du Directeur Général</t>
  </si>
  <si>
    <t>Corinne GBENOU FOURN</t>
  </si>
  <si>
    <t>Date de création</t>
  </si>
  <si>
    <t>Capital social</t>
  </si>
  <si>
    <t>3 299 350 000 F CFA</t>
  </si>
  <si>
    <t>Nombre de salariés</t>
  </si>
  <si>
    <t>Cadres</t>
  </si>
  <si>
    <t>Maîtrise</t>
  </si>
  <si>
    <t>Employés</t>
  </si>
  <si>
    <t>(chiffres en milliers de francs CFA)</t>
  </si>
  <si>
    <t>A - EMISSIONS NETTES</t>
  </si>
  <si>
    <t>Branches</t>
  </si>
  <si>
    <t>Part</t>
  </si>
  <si>
    <t>Evolutions</t>
  </si>
  <si>
    <t>Assurances individuelles</t>
  </si>
  <si>
    <t>Contrats en cas de vie</t>
  </si>
  <si>
    <t>Contrat en cas de décès</t>
  </si>
  <si>
    <t>Mixte</t>
  </si>
  <si>
    <t>Epargne</t>
  </si>
  <si>
    <t>Titre de capitalisation</t>
  </si>
  <si>
    <t>Complémentaires</t>
  </si>
  <si>
    <t>Assurances collectives</t>
  </si>
  <si>
    <t>Contrat en cas de vie</t>
  </si>
  <si>
    <t>Total affaires directes</t>
  </si>
  <si>
    <t>Acceptations</t>
  </si>
  <si>
    <t>Ensemble</t>
  </si>
  <si>
    <t>B - PRESTATIONS VERSEES</t>
  </si>
  <si>
    <t xml:space="preserve">Assurances individuelles </t>
  </si>
  <si>
    <t>C – AUTRES CHIFFRES CLES</t>
  </si>
  <si>
    <t>Rubriques</t>
  </si>
  <si>
    <t>Produits financiers nets</t>
  </si>
  <si>
    <t>Commissions</t>
  </si>
  <si>
    <t>Autres charges de l'exercice</t>
  </si>
  <si>
    <t>Provisions mathématiques (clôture)</t>
  </si>
  <si>
    <t>Provisions mathématiques (ouverture)</t>
  </si>
  <si>
    <t>Primes cédées aux réassureurs</t>
  </si>
  <si>
    <t>Part des réassureurs dans les charges</t>
  </si>
  <si>
    <t>Résultats d’exploitations nets</t>
  </si>
  <si>
    <t>Total des capitaux propres er réserves</t>
  </si>
  <si>
    <t>Marge réglementaire</t>
  </si>
  <si>
    <t>Marge disponible</t>
  </si>
  <si>
    <t>Engagements Réglementés</t>
  </si>
  <si>
    <t>Actifs admis</t>
  </si>
  <si>
    <t xml:space="preserve">                                            dont liquidités</t>
  </si>
  <si>
    <t xml:space="preserve">                                               autes actifs</t>
  </si>
  <si>
    <t>Taux de couverture des Engagements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</si>
</sst>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b/>
      <sz val="12"/>
      <name val="Verdana"/>
      <family val="2"/>
    </font>
    <font>
      <sz val="12"/>
      <name val="Verdana"/>
      <family val="2"/>
    </font>
  </fonts>
  <fills count="2">
    <fill>
      <patternFill patternType="none"/>
    </fill>
    <fill>
      <patternFill patternType="gray125"/>
    </fill>
  </fills>
  <borders count="68">
    <border>
      <left/>
      <right/>
      <top/>
      <bottom/>
      <diagonal/>
    </border>
    <border>
      <left style="thick">
        <color indexed="18"/>
      </left>
      <right/>
      <top style="thick">
        <color indexed="18"/>
      </top>
      <bottom/>
      <diagonal/>
    </border>
    <border>
      <left/>
      <right/>
      <top style="thick">
        <color indexed="18"/>
      </top>
      <bottom/>
      <diagonal/>
    </border>
    <border>
      <left/>
      <right style="thick">
        <color indexed="18"/>
      </right>
      <top style="thick">
        <color indexed="18"/>
      </top>
      <bottom/>
      <diagonal/>
    </border>
    <border>
      <left style="thick">
        <color indexed="18"/>
      </left>
      <right/>
      <top/>
      <bottom/>
      <diagonal/>
    </border>
    <border>
      <left/>
      <right style="thick">
        <color indexed="18"/>
      </right>
      <top/>
      <bottom/>
      <diagonal/>
    </border>
    <border>
      <left style="thick">
        <color indexed="18"/>
      </left>
      <right/>
      <top/>
      <bottom style="thick">
        <color indexed="18"/>
      </bottom>
      <diagonal/>
    </border>
    <border>
      <left/>
      <right/>
      <top/>
      <bottom style="thick">
        <color indexed="18"/>
      </bottom>
      <diagonal/>
    </border>
    <border>
      <left/>
      <right style="thick">
        <color indexed="18"/>
      </right>
      <top/>
      <bottom style="thick">
        <color indexed="18"/>
      </bottom>
      <diagonal/>
    </border>
    <border>
      <left/>
      <right/>
      <top style="thick">
        <color indexed="18"/>
      </top>
      <bottom style="thick">
        <color indexed="18"/>
      </bottom>
      <diagonal/>
    </border>
    <border>
      <left style="thick">
        <color rgb="FF000080"/>
      </left>
      <right style="thin">
        <color rgb="FF000080"/>
      </right>
      <top style="thick">
        <color rgb="FF000080"/>
      </top>
      <bottom/>
      <diagonal/>
    </border>
    <border>
      <left style="thin">
        <color rgb="FF000080"/>
      </left>
      <right style="dotted">
        <color rgb="FF000080"/>
      </right>
      <top style="thick">
        <color rgb="FF000080"/>
      </top>
      <bottom/>
      <diagonal/>
    </border>
    <border>
      <left style="dotted">
        <color rgb="FF000080"/>
      </left>
      <right style="thin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 style="thick">
        <color rgb="FF000080"/>
      </top>
      <bottom/>
      <diagonal/>
    </border>
    <border>
      <left style="thick">
        <color rgb="FF000080"/>
      </left>
      <right style="thin">
        <color rgb="FF000080"/>
      </right>
      <top/>
      <bottom style="medium">
        <color rgb="FF000080"/>
      </bottom>
      <diagonal/>
    </border>
    <border>
      <left style="thin">
        <color rgb="FF000080"/>
      </left>
      <right style="dotted">
        <color rgb="FF000080"/>
      </right>
      <top/>
      <bottom style="medium">
        <color rgb="FF000080"/>
      </bottom>
      <diagonal/>
    </border>
    <border>
      <left style="dotted">
        <color rgb="FF000080"/>
      </left>
      <right style="thin">
        <color rgb="FF000080"/>
      </right>
      <top/>
      <bottom/>
      <diagonal/>
    </border>
    <border>
      <left/>
      <right style="thick">
        <color rgb="FF000080"/>
      </right>
      <top/>
      <bottom/>
      <diagonal/>
    </border>
    <border>
      <left style="thick">
        <color rgb="FF000080"/>
      </left>
      <right/>
      <top style="medium">
        <color rgb="FF000080"/>
      </top>
      <bottom/>
      <diagonal/>
    </border>
    <border>
      <left/>
      <right/>
      <top style="medium">
        <color rgb="FF000080"/>
      </top>
      <bottom/>
      <diagonal/>
    </border>
    <border>
      <left/>
      <right style="thick">
        <color rgb="FF000080"/>
      </right>
      <top style="medium">
        <color rgb="FF000080"/>
      </top>
      <bottom/>
      <diagonal/>
    </border>
    <border>
      <left style="thick">
        <color indexed="18"/>
      </left>
      <right style="thin">
        <color indexed="18"/>
      </right>
      <top style="dotted">
        <color indexed="18"/>
      </top>
      <bottom/>
      <diagonal/>
    </border>
    <border>
      <left style="thin">
        <color indexed="18"/>
      </left>
      <right style="dotted">
        <color indexed="18"/>
      </right>
      <top style="dotted">
        <color indexed="18"/>
      </top>
      <bottom/>
      <diagonal/>
    </border>
    <border>
      <left style="dotted">
        <color indexed="18"/>
      </left>
      <right style="thin">
        <color indexed="18"/>
      </right>
      <top style="dotted">
        <color indexed="18"/>
      </top>
      <bottom/>
      <diagonal/>
    </border>
    <border>
      <left/>
      <right style="thick">
        <color indexed="18"/>
      </right>
      <top style="dotted">
        <color indexed="18"/>
      </top>
      <bottom/>
      <diagonal/>
    </border>
    <border>
      <left style="thick">
        <color indexed="18"/>
      </left>
      <right style="thin">
        <color indexed="18"/>
      </right>
      <top/>
      <bottom/>
      <diagonal/>
    </border>
    <border>
      <left style="thin">
        <color indexed="18"/>
      </left>
      <right style="dotted">
        <color indexed="18"/>
      </right>
      <top/>
      <bottom/>
      <diagonal/>
    </border>
    <border>
      <left style="dotted">
        <color indexed="18"/>
      </left>
      <right style="thin">
        <color indexed="18"/>
      </right>
      <top/>
      <bottom/>
      <diagonal/>
    </border>
    <border>
      <left style="thick">
        <color rgb="FF000080"/>
      </left>
      <right/>
      <top style="thin">
        <color rgb="FF000080"/>
      </top>
      <bottom/>
      <diagonal/>
    </border>
    <border>
      <left/>
      <right/>
      <top style="thin">
        <color rgb="FF000080"/>
      </top>
      <bottom/>
      <diagonal/>
    </border>
    <border>
      <left/>
      <right style="thick">
        <color rgb="FF000080"/>
      </right>
      <top style="thin">
        <color rgb="FF000080"/>
      </top>
      <bottom/>
      <diagonal/>
    </border>
    <border>
      <left style="thick">
        <color indexed="18"/>
      </left>
      <right style="thin">
        <color indexed="18"/>
      </right>
      <top/>
      <bottom style="medium">
        <color indexed="18"/>
      </bottom>
      <diagonal/>
    </border>
    <border>
      <left style="thin">
        <color indexed="18"/>
      </left>
      <right style="dotted">
        <color indexed="18"/>
      </right>
      <top/>
      <bottom style="medium">
        <color indexed="18"/>
      </bottom>
      <diagonal/>
    </border>
    <border>
      <left style="dotted">
        <color indexed="18"/>
      </left>
      <right style="thin">
        <color indexed="18"/>
      </right>
      <top/>
      <bottom style="medium">
        <color indexed="18"/>
      </bottom>
      <diagonal/>
    </border>
    <border>
      <left/>
      <right style="thick">
        <color indexed="18"/>
      </right>
      <top/>
      <bottom style="medium">
        <color indexed="18"/>
      </bottom>
      <diagonal/>
    </border>
    <border>
      <left style="thick">
        <color indexed="18"/>
      </left>
      <right style="thin">
        <color indexed="18"/>
      </right>
      <top style="medium">
        <color indexed="18"/>
      </top>
      <bottom style="medium">
        <color indexed="18"/>
      </bottom>
      <diagonal/>
    </border>
    <border>
      <left style="thin">
        <color indexed="18"/>
      </left>
      <right style="dotted">
        <color indexed="18"/>
      </right>
      <top style="medium">
        <color indexed="18"/>
      </top>
      <bottom style="medium">
        <color indexed="18"/>
      </bottom>
      <diagonal/>
    </border>
    <border>
      <left style="dotted">
        <color indexed="18"/>
      </left>
      <right style="thin">
        <color indexed="18"/>
      </right>
      <top style="medium">
        <color indexed="18"/>
      </top>
      <bottom style="medium">
        <color indexed="18"/>
      </bottom>
      <diagonal/>
    </border>
    <border>
      <left/>
      <right style="thick">
        <color indexed="18"/>
      </right>
      <top style="medium">
        <color indexed="18"/>
      </top>
      <bottom style="medium">
        <color indexed="18"/>
      </bottom>
      <diagonal/>
    </border>
    <border>
      <left style="thick">
        <color indexed="18"/>
      </left>
      <right style="thin">
        <color indexed="18"/>
      </right>
      <top/>
      <bottom style="thick">
        <color indexed="18"/>
      </bottom>
      <diagonal/>
    </border>
    <border>
      <left style="thin">
        <color indexed="18"/>
      </left>
      <right style="dotted">
        <color indexed="18"/>
      </right>
      <top/>
      <bottom style="thick">
        <color indexed="18"/>
      </bottom>
      <diagonal/>
    </border>
    <border>
      <left style="dotted">
        <color indexed="18"/>
      </left>
      <right style="thin">
        <color indexed="18"/>
      </right>
      <top/>
      <bottom style="thick">
        <color indexed="18"/>
      </bottom>
      <diagonal/>
    </border>
    <border>
      <left style="dotted">
        <color rgb="FF000080"/>
      </left>
      <right style="thin">
        <color rgb="FF000080"/>
      </right>
      <top/>
      <bottom style="medium">
        <color rgb="FF000080"/>
      </bottom>
      <diagonal/>
    </border>
    <border>
      <left/>
      <right style="dotted">
        <color indexed="18"/>
      </right>
      <top style="dotted">
        <color indexed="18"/>
      </top>
      <bottom/>
      <diagonal/>
    </border>
    <border>
      <left/>
      <right style="dotted">
        <color indexed="18"/>
      </right>
      <top/>
      <bottom/>
      <diagonal/>
    </border>
    <border>
      <left style="dotted">
        <color indexed="18"/>
      </left>
      <right/>
      <top style="dotted">
        <color indexed="18"/>
      </top>
      <bottom/>
      <diagonal/>
    </border>
    <border>
      <left style="dotted">
        <color indexed="18"/>
      </left>
      <right/>
      <top/>
      <bottom/>
      <diagonal/>
    </border>
    <border>
      <left style="dotted">
        <color indexed="18"/>
      </left>
      <right/>
      <top/>
      <bottom style="medium">
        <color indexed="18"/>
      </bottom>
      <diagonal/>
    </border>
    <border>
      <left/>
      <right style="dotted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18"/>
      </top>
      <bottom style="medium">
        <color indexed="18"/>
      </bottom>
      <diagonal/>
    </border>
    <border>
      <left style="dotted">
        <color indexed="18"/>
      </left>
      <right/>
      <top style="medium">
        <color indexed="18"/>
      </top>
      <bottom style="medium">
        <color indexed="18"/>
      </bottom>
      <diagonal/>
    </border>
    <border>
      <left style="dotted">
        <color indexed="18"/>
      </left>
      <right/>
      <top/>
      <bottom style="thick">
        <color indexed="18"/>
      </bottom>
      <diagonal/>
    </border>
    <border>
      <left style="dotted">
        <color indexed="18"/>
      </left>
      <right style="thin">
        <color indexed="64"/>
      </right>
      <top/>
      <bottom style="thick">
        <color indexed="18"/>
      </bottom>
      <diagonal/>
    </border>
    <border>
      <left style="thin">
        <color indexed="64"/>
      </left>
      <right style="thick">
        <color indexed="18"/>
      </right>
      <top/>
      <bottom style="thick">
        <color indexed="18"/>
      </bottom>
      <diagonal/>
    </border>
    <border>
      <left style="thick">
        <color rgb="FF000080"/>
      </left>
      <right/>
      <top style="thick">
        <color rgb="FF000080"/>
      </top>
      <bottom style="medium">
        <color rgb="FF000080"/>
      </bottom>
      <diagonal/>
    </border>
    <border>
      <left/>
      <right style="thin">
        <color rgb="FF000080"/>
      </right>
      <top style="thick">
        <color rgb="FF000080"/>
      </top>
      <bottom style="medium">
        <color rgb="FF000080"/>
      </bottom>
      <diagonal/>
    </border>
    <border>
      <left style="thin">
        <color indexed="18"/>
      </left>
      <right style="thin">
        <color indexed="18"/>
      </right>
      <top style="thick">
        <color indexed="18"/>
      </top>
      <bottom style="medium">
        <color indexed="18"/>
      </bottom>
      <diagonal/>
    </border>
    <border>
      <left/>
      <right/>
      <top style="thick">
        <color rgb="FF000080"/>
      </top>
      <bottom style="medium">
        <color rgb="FF000080"/>
      </bottom>
      <diagonal/>
    </border>
    <border>
      <left/>
      <right style="thick">
        <color rgb="FF000080"/>
      </right>
      <top style="thick">
        <color rgb="FF000080"/>
      </top>
      <bottom style="medium">
        <color rgb="FF000080"/>
      </bottom>
      <diagonal/>
    </border>
    <border>
      <left style="thick">
        <color indexed="18"/>
      </left>
      <right/>
      <top style="medium">
        <color indexed="18"/>
      </top>
      <bottom/>
      <diagonal/>
    </border>
    <border>
      <left/>
      <right style="thin">
        <color indexed="18"/>
      </right>
      <top style="medium">
        <color indexed="18"/>
      </top>
      <bottom/>
      <diagonal/>
    </border>
    <border>
      <left style="thin">
        <color indexed="18"/>
      </left>
      <right style="thin">
        <color indexed="18"/>
      </right>
      <top/>
      <bottom/>
      <diagonal/>
    </border>
    <border>
      <left/>
      <right style="thin">
        <color indexed="18"/>
      </right>
      <top/>
      <bottom/>
      <diagonal/>
    </border>
    <border>
      <left style="thin">
        <color rgb="FF000080"/>
      </left>
      <right/>
      <top/>
      <bottom/>
      <diagonal/>
    </border>
    <border>
      <left/>
      <right style="thin">
        <color indexed="18"/>
      </right>
      <top/>
      <bottom style="thick">
        <color indexed="18"/>
      </bottom>
      <diagonal/>
    </border>
    <border>
      <left style="thin">
        <color indexed="18"/>
      </left>
      <right style="thin">
        <color indexed="18"/>
      </right>
      <top/>
      <bottom style="thick">
        <color indexed="18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/>
      <bottom style="thick">
        <color rgb="FF00008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14" fontId="2" fillId="0" borderId="0" xfId="0" applyNumberFormat="1" applyFont="1" applyAlignment="1">
      <alignment horizontal="left" vertical="center"/>
    </xf>
    <xf numFmtId="3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3" fontId="2" fillId="0" borderId="22" xfId="0" applyNumberFormat="1" applyFont="1" applyBorder="1" applyAlignment="1">
      <alignment horizontal="center" vertical="center"/>
    </xf>
    <xf numFmtId="164" fontId="2" fillId="0" borderId="23" xfId="0" applyNumberFormat="1" applyFont="1" applyBorder="1" applyAlignment="1">
      <alignment horizontal="center" vertical="center"/>
    </xf>
    <xf numFmtId="164" fontId="2" fillId="0" borderId="24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3" fontId="2" fillId="0" borderId="26" xfId="0" applyNumberFormat="1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vertical="center"/>
    </xf>
    <xf numFmtId="3" fontId="2" fillId="0" borderId="32" xfId="0" applyNumberFormat="1" applyFont="1" applyBorder="1" applyAlignment="1">
      <alignment horizontal="center" vertical="center"/>
    </xf>
    <xf numFmtId="164" fontId="2" fillId="0" borderId="33" xfId="0" applyNumberFormat="1" applyFont="1" applyBorder="1" applyAlignment="1">
      <alignment horizontal="center" vertical="center"/>
    </xf>
    <xf numFmtId="164" fontId="2" fillId="0" borderId="34" xfId="0" applyNumberFormat="1" applyFont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3" fontId="2" fillId="0" borderId="36" xfId="0" applyNumberFormat="1" applyFont="1" applyBorder="1" applyAlignment="1">
      <alignment horizontal="center" vertical="center"/>
    </xf>
    <xf numFmtId="164" fontId="2" fillId="0" borderId="37" xfId="0" applyNumberFormat="1" applyFont="1" applyBorder="1" applyAlignment="1">
      <alignment horizontal="center" vertical="center"/>
    </xf>
    <xf numFmtId="164" fontId="2" fillId="0" borderId="38" xfId="0" applyNumberFormat="1" applyFont="1" applyBorder="1" applyAlignment="1">
      <alignment horizontal="center" vertical="center"/>
    </xf>
    <xf numFmtId="0" fontId="1" fillId="0" borderId="39" xfId="0" applyFont="1" applyBorder="1" applyAlignment="1">
      <alignment vertical="center"/>
    </xf>
    <xf numFmtId="3" fontId="1" fillId="0" borderId="40" xfId="0" applyNumberFormat="1" applyFont="1" applyBorder="1" applyAlignment="1">
      <alignment horizontal="center" vertical="center"/>
    </xf>
    <xf numFmtId="164" fontId="1" fillId="0" borderId="41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3" fontId="2" fillId="0" borderId="43" xfId="0" applyNumberFormat="1" applyFont="1" applyBorder="1" applyAlignment="1">
      <alignment horizontal="center" vertical="center"/>
    </xf>
    <xf numFmtId="3" fontId="2" fillId="0" borderId="44" xfId="0" applyNumberFormat="1" applyFont="1" applyBorder="1" applyAlignment="1">
      <alignment horizontal="center" vertical="center"/>
    </xf>
    <xf numFmtId="164" fontId="2" fillId="0" borderId="45" xfId="0" applyNumberFormat="1" applyFont="1" applyBorder="1" applyAlignment="1">
      <alignment horizontal="center" vertical="center"/>
    </xf>
    <xf numFmtId="164" fontId="2" fillId="0" borderId="46" xfId="0" applyNumberFormat="1" applyFont="1" applyBorder="1" applyAlignment="1">
      <alignment horizontal="center" vertical="center"/>
    </xf>
    <xf numFmtId="164" fontId="2" fillId="0" borderId="47" xfId="0" applyNumberFormat="1" applyFont="1" applyBorder="1" applyAlignment="1">
      <alignment horizontal="center" vertical="center"/>
    </xf>
    <xf numFmtId="3" fontId="2" fillId="0" borderId="48" xfId="0" applyNumberFormat="1" applyFont="1" applyBorder="1" applyAlignment="1">
      <alignment horizontal="center" vertical="center"/>
    </xf>
    <xf numFmtId="164" fontId="2" fillId="0" borderId="49" xfId="0" applyNumberFormat="1" applyFont="1" applyBorder="1" applyAlignment="1">
      <alignment horizontal="center" vertical="center"/>
    </xf>
    <xf numFmtId="164" fontId="2" fillId="0" borderId="50" xfId="0" applyNumberFormat="1" applyFont="1" applyBorder="1" applyAlignment="1">
      <alignment horizontal="center" vertical="center"/>
    </xf>
    <xf numFmtId="164" fontId="1" fillId="0" borderId="51" xfId="0" applyNumberFormat="1" applyFont="1" applyBorder="1" applyAlignment="1">
      <alignment horizontal="center" vertical="center"/>
    </xf>
    <xf numFmtId="164" fontId="1" fillId="0" borderId="52" xfId="0" applyNumberFormat="1" applyFont="1" applyBorder="1" applyAlignment="1">
      <alignment horizontal="center" vertical="center"/>
    </xf>
    <xf numFmtId="164" fontId="1" fillId="0" borderId="53" xfId="0" applyNumberFormat="1" applyFont="1" applyBorder="1" applyAlignment="1">
      <alignment horizontal="center" vertical="center"/>
    </xf>
    <xf numFmtId="0" fontId="2" fillId="0" borderId="54" xfId="0" applyFont="1" applyBorder="1" applyAlignment="1">
      <alignment horizontal="left" vertical="center"/>
    </xf>
    <xf numFmtId="0" fontId="2" fillId="0" borderId="55" xfId="0" applyFont="1" applyBorder="1" applyAlignment="1">
      <alignment horizontal="left" vertical="center"/>
    </xf>
    <xf numFmtId="0" fontId="2" fillId="0" borderId="56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59" xfId="0" applyFont="1" applyBorder="1" applyAlignment="1">
      <alignment vertical="center"/>
    </xf>
    <xf numFmtId="0" fontId="2" fillId="0" borderId="60" xfId="0" applyFont="1" applyBorder="1" applyAlignment="1">
      <alignment vertical="center"/>
    </xf>
    <xf numFmtId="3" fontId="2" fillId="0" borderId="61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0" fontId="2" fillId="0" borderId="62" xfId="0" applyFont="1" applyBorder="1" applyAlignment="1">
      <alignment vertical="center"/>
    </xf>
    <xf numFmtId="164" fontId="2" fillId="0" borderId="63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0" fontId="2" fillId="0" borderId="64" xfId="0" applyFont="1" applyBorder="1" applyAlignment="1">
      <alignment vertical="center"/>
    </xf>
    <xf numFmtId="164" fontId="2" fillId="0" borderId="65" xfId="0" applyNumberFormat="1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5C8D3-3F19-4A6C-9B6D-857FADDAA772}">
  <dimension ref="A1:F67"/>
  <sheetViews>
    <sheetView tabSelected="1" zoomScale="56" workbookViewId="0">
      <selection sqref="A1:F66"/>
    </sheetView>
  </sheetViews>
  <sheetFormatPr baseColWidth="10" defaultRowHeight="14.5" x14ac:dyDescent="0.35"/>
  <cols>
    <col min="1" max="1" width="48.81640625" bestFit="1" customWidth="1"/>
    <col min="2" max="2" width="35.26953125" bestFit="1" customWidth="1"/>
    <col min="3" max="3" width="12" bestFit="1" customWidth="1"/>
    <col min="4" max="4" width="13.453125" bestFit="1" customWidth="1"/>
    <col min="5" max="5" width="11" bestFit="1" customWidth="1"/>
    <col min="6" max="6" width="12.1796875" bestFit="1" customWidth="1"/>
  </cols>
  <sheetData>
    <row r="1" spans="1:6" ht="15.5" thickTop="1" x14ac:dyDescent="0.35">
      <c r="A1" s="1" t="s">
        <v>0</v>
      </c>
      <c r="B1" s="2" t="s">
        <v>1</v>
      </c>
      <c r="C1" s="2"/>
      <c r="D1" s="2"/>
      <c r="E1" s="2"/>
      <c r="F1" s="3"/>
    </row>
    <row r="2" spans="1:6" ht="15" x14ac:dyDescent="0.35">
      <c r="A2" s="4" t="s">
        <v>2</v>
      </c>
      <c r="B2" s="5" t="s">
        <v>3</v>
      </c>
      <c r="C2" s="5"/>
      <c r="D2" s="5"/>
      <c r="E2" s="5"/>
      <c r="F2" s="6"/>
    </row>
    <row r="3" spans="1:6" ht="15" x14ac:dyDescent="0.35">
      <c r="A3" s="4" t="s">
        <v>4</v>
      </c>
      <c r="B3" s="5" t="s">
        <v>5</v>
      </c>
      <c r="C3" s="5"/>
      <c r="D3" s="5"/>
      <c r="E3" s="5"/>
      <c r="F3" s="6"/>
    </row>
    <row r="4" spans="1:6" ht="15" x14ac:dyDescent="0.35">
      <c r="A4" s="4" t="s">
        <v>6</v>
      </c>
      <c r="B4" s="7">
        <v>34662</v>
      </c>
      <c r="C4" s="5"/>
      <c r="D4" s="5"/>
      <c r="E4" s="5"/>
      <c r="F4" s="6"/>
    </row>
    <row r="5" spans="1:6" ht="15" x14ac:dyDescent="0.35">
      <c r="A5" s="4" t="s">
        <v>7</v>
      </c>
      <c r="B5" s="8" t="s">
        <v>8</v>
      </c>
      <c r="C5" s="8"/>
      <c r="D5" s="8"/>
      <c r="E5" s="8"/>
      <c r="F5" s="6"/>
    </row>
    <row r="6" spans="1:6" ht="15" x14ac:dyDescent="0.35">
      <c r="A6" s="4" t="s">
        <v>9</v>
      </c>
      <c r="B6" s="9">
        <f>SUM(D6:D8)</f>
        <v>17</v>
      </c>
      <c r="C6" s="10" t="s">
        <v>10</v>
      </c>
      <c r="D6" s="11">
        <v>9</v>
      </c>
      <c r="E6" s="5"/>
      <c r="F6" s="6"/>
    </row>
    <row r="7" spans="1:6" ht="15" x14ac:dyDescent="0.35">
      <c r="A7" s="4"/>
      <c r="B7" s="5"/>
      <c r="C7" s="10" t="s">
        <v>11</v>
      </c>
      <c r="D7" s="11">
        <v>6</v>
      </c>
      <c r="E7" s="5"/>
      <c r="F7" s="6"/>
    </row>
    <row r="8" spans="1:6" ht="15.5" thickBot="1" x14ac:dyDescent="0.4">
      <c r="A8" s="12"/>
      <c r="B8" s="13"/>
      <c r="C8" s="14" t="s">
        <v>12</v>
      </c>
      <c r="D8" s="15">
        <v>2</v>
      </c>
      <c r="E8" s="13"/>
      <c r="F8" s="16"/>
    </row>
    <row r="9" spans="1:6" ht="16" thickTop="1" thickBot="1" x14ac:dyDescent="0.4">
      <c r="A9" s="17" t="s">
        <v>13</v>
      </c>
      <c r="B9" s="18" t="s">
        <v>14</v>
      </c>
      <c r="C9" s="5"/>
      <c r="D9" s="5"/>
      <c r="E9" s="5"/>
      <c r="F9" s="5"/>
    </row>
    <row r="10" spans="1:6" ht="15" thickTop="1" x14ac:dyDescent="0.35">
      <c r="A10" s="19" t="s">
        <v>15</v>
      </c>
      <c r="B10" s="20">
        <v>2020</v>
      </c>
      <c r="C10" s="21" t="s">
        <v>16</v>
      </c>
      <c r="D10" s="20">
        <f>B10+1</f>
        <v>2021</v>
      </c>
      <c r="E10" s="21" t="s">
        <v>16</v>
      </c>
      <c r="F10" s="22" t="s">
        <v>17</v>
      </c>
    </row>
    <row r="11" spans="1:6" ht="15" thickBot="1" x14ac:dyDescent="0.4">
      <c r="A11" s="23"/>
      <c r="B11" s="24"/>
      <c r="C11" s="25"/>
      <c r="D11" s="24"/>
      <c r="E11" s="25"/>
      <c r="F11" s="26"/>
    </row>
    <row r="12" spans="1:6" ht="15" x14ac:dyDescent="0.35">
      <c r="A12" s="27" t="s">
        <v>18</v>
      </c>
      <c r="B12" s="28"/>
      <c r="C12" s="28"/>
      <c r="D12" s="28"/>
      <c r="E12" s="28"/>
      <c r="F12" s="29"/>
    </row>
    <row r="13" spans="1:6" ht="15" x14ac:dyDescent="0.35">
      <c r="A13" s="30" t="s">
        <v>19</v>
      </c>
      <c r="B13" s="31">
        <v>0</v>
      </c>
      <c r="C13" s="32"/>
      <c r="D13" s="31">
        <v>0</v>
      </c>
      <c r="E13" s="32" t="str">
        <f t="shared" ref="E13:E18" si="0">IF(AND(D13&lt;&gt;0,D$28&lt;&gt;0),(D13/D$28),"")</f>
        <v/>
      </c>
      <c r="F13" s="33" t="str">
        <f t="shared" ref="F13:F18" si="1">IF(AND(D13&lt;&gt;0,B13&lt;&gt;0),((D13/B13)-1),"")</f>
        <v/>
      </c>
    </row>
    <row r="14" spans="1:6" ht="15" x14ac:dyDescent="0.35">
      <c r="A14" s="34" t="s">
        <v>20</v>
      </c>
      <c r="B14" s="35">
        <v>389766.46600000001</v>
      </c>
      <c r="C14" s="36">
        <f>IF(AND(B14&lt;&gt;0,B$28&lt;&gt;0),(B14/B$28),"")</f>
        <v>0.13452415232711176</v>
      </c>
      <c r="D14" s="35">
        <v>333864.70199999999</v>
      </c>
      <c r="E14" s="36">
        <f t="shared" si="0"/>
        <v>8.2769791240623572E-2</v>
      </c>
      <c r="F14" s="37">
        <f t="shared" si="1"/>
        <v>-0.14342373928084418</v>
      </c>
    </row>
    <row r="15" spans="1:6" ht="15" x14ac:dyDescent="0.35">
      <c r="A15" s="34" t="s">
        <v>21</v>
      </c>
      <c r="B15" s="35">
        <v>1387584.99</v>
      </c>
      <c r="C15" s="36">
        <f>IF(AND(B15&lt;&gt;0,B$28&lt;&gt;0),(B15/B$28),"")</f>
        <v>0.4789116325917423</v>
      </c>
      <c r="D15" s="35">
        <v>500297.55800000002</v>
      </c>
      <c r="E15" s="36">
        <f t="shared" si="0"/>
        <v>0.12403085497146615</v>
      </c>
      <c r="F15" s="37">
        <f t="shared" si="1"/>
        <v>-0.63944726873991331</v>
      </c>
    </row>
    <row r="16" spans="1:6" ht="15" x14ac:dyDescent="0.35">
      <c r="A16" s="34" t="s">
        <v>22</v>
      </c>
      <c r="B16" s="35">
        <v>1120020.2</v>
      </c>
      <c r="C16" s="36">
        <f>IF(AND(B16&lt;&gt;0,B$28&lt;&gt;0),(B16/B$28),"")</f>
        <v>0.38656421508114591</v>
      </c>
      <c r="D16" s="35">
        <v>2844384.398</v>
      </c>
      <c r="E16" s="36">
        <f t="shared" si="0"/>
        <v>0.70516320359780582</v>
      </c>
      <c r="F16" s="37">
        <f t="shared" si="1"/>
        <v>1.5395831235900928</v>
      </c>
    </row>
    <row r="17" spans="1:6" ht="15" x14ac:dyDescent="0.35">
      <c r="A17" s="34" t="s">
        <v>23</v>
      </c>
      <c r="B17" s="35">
        <v>0</v>
      </c>
      <c r="C17" s="36" t="str">
        <f>IF(AND(B17&lt;&gt;0,B$28&lt;&gt;0),(B17/B$28),"")</f>
        <v/>
      </c>
      <c r="D17" s="35">
        <v>0</v>
      </c>
      <c r="E17" s="36" t="str">
        <f t="shared" si="0"/>
        <v/>
      </c>
      <c r="F17" s="37" t="str">
        <f t="shared" si="1"/>
        <v/>
      </c>
    </row>
    <row r="18" spans="1:6" ht="15" x14ac:dyDescent="0.35">
      <c r="A18" s="34" t="s">
        <v>24</v>
      </c>
      <c r="B18" s="35">
        <v>0</v>
      </c>
      <c r="C18" s="36" t="str">
        <f>IF(AND(B18&lt;&gt;0,B$28&lt;&gt;0),(B18/B$28),"")</f>
        <v/>
      </c>
      <c r="D18" s="35">
        <v>26508.578000000001</v>
      </c>
      <c r="E18" s="36">
        <f t="shared" si="0"/>
        <v>6.5718521724581324E-3</v>
      </c>
      <c r="F18" s="37" t="str">
        <f t="shared" si="1"/>
        <v/>
      </c>
    </row>
    <row r="19" spans="1:6" ht="15" x14ac:dyDescent="0.35">
      <c r="A19" s="38" t="s">
        <v>25</v>
      </c>
      <c r="B19" s="39"/>
      <c r="C19" s="39"/>
      <c r="D19" s="39"/>
      <c r="E19" s="39"/>
      <c r="F19" s="40"/>
    </row>
    <row r="20" spans="1:6" ht="15" x14ac:dyDescent="0.35">
      <c r="A20" s="30" t="s">
        <v>26</v>
      </c>
      <c r="B20" s="31"/>
      <c r="C20" s="32"/>
      <c r="D20" s="31">
        <v>0</v>
      </c>
      <c r="E20" s="32" t="str">
        <f t="shared" ref="E20:E28" si="2">IF(AND(D20&lt;&gt;0,D$28&lt;&gt;0),(D20/D$28),"")</f>
        <v/>
      </c>
      <c r="F20" s="33" t="str">
        <f t="shared" ref="F20:F28" si="3">IF(AND(D20&lt;&gt;0,B20&lt;&gt;0),((D20/B20)-1),"")</f>
        <v/>
      </c>
    </row>
    <row r="21" spans="1:6" ht="15" x14ac:dyDescent="0.35">
      <c r="A21" s="34" t="s">
        <v>20</v>
      </c>
      <c r="B21" s="35"/>
      <c r="C21" s="36" t="str">
        <f t="shared" ref="C21:C28" si="4">IF(AND(B21&lt;&gt;0,B$28&lt;&gt;0),(B21/B$28),"")</f>
        <v/>
      </c>
      <c r="D21" s="35">
        <v>55158.821000000004</v>
      </c>
      <c r="E21" s="36">
        <f t="shared" si="2"/>
        <v>1.3674653450633198E-2</v>
      </c>
      <c r="F21" s="37" t="str">
        <f t="shared" si="3"/>
        <v/>
      </c>
    </row>
    <row r="22" spans="1:6" ht="15" x14ac:dyDescent="0.35">
      <c r="A22" s="34" t="s">
        <v>21</v>
      </c>
      <c r="B22" s="35"/>
      <c r="C22" s="36" t="str">
        <f t="shared" si="4"/>
        <v/>
      </c>
      <c r="D22" s="35">
        <v>0</v>
      </c>
      <c r="E22" s="36" t="str">
        <f t="shared" si="2"/>
        <v/>
      </c>
      <c r="F22" s="37" t="str">
        <f t="shared" si="3"/>
        <v/>
      </c>
    </row>
    <row r="23" spans="1:6" ht="15" x14ac:dyDescent="0.35">
      <c r="A23" s="34" t="s">
        <v>22</v>
      </c>
      <c r="B23" s="35"/>
      <c r="C23" s="36" t="str">
        <f t="shared" si="4"/>
        <v/>
      </c>
      <c r="D23" s="35">
        <v>273439.973</v>
      </c>
      <c r="E23" s="36">
        <f t="shared" si="2"/>
        <v>6.7789644567013099E-2</v>
      </c>
      <c r="F23" s="37" t="str">
        <f t="shared" si="3"/>
        <v/>
      </c>
    </row>
    <row r="24" spans="1:6" ht="15" x14ac:dyDescent="0.35">
      <c r="A24" s="34" t="s">
        <v>23</v>
      </c>
      <c r="B24" s="35"/>
      <c r="C24" s="36" t="str">
        <f t="shared" si="4"/>
        <v/>
      </c>
      <c r="D24" s="35">
        <v>0</v>
      </c>
      <c r="E24" s="36" t="str">
        <f t="shared" si="2"/>
        <v/>
      </c>
      <c r="F24" s="37" t="str">
        <f t="shared" si="3"/>
        <v/>
      </c>
    </row>
    <row r="25" spans="1:6" ht="15.5" thickBot="1" x14ac:dyDescent="0.4">
      <c r="A25" s="41" t="s">
        <v>24</v>
      </c>
      <c r="B25" s="42"/>
      <c r="C25" s="43" t="str">
        <f t="shared" si="4"/>
        <v/>
      </c>
      <c r="D25" s="35">
        <v>0</v>
      </c>
      <c r="E25" s="43" t="str">
        <f t="shared" si="2"/>
        <v/>
      </c>
      <c r="F25" s="44" t="str">
        <f t="shared" si="3"/>
        <v/>
      </c>
    </row>
    <row r="26" spans="1:6" ht="15.5" thickBot="1" x14ac:dyDescent="0.4">
      <c r="A26" s="45" t="s">
        <v>27</v>
      </c>
      <c r="B26" s="46">
        <f>SUM(B13:B25)</f>
        <v>2897371.656</v>
      </c>
      <c r="C26" s="43">
        <f t="shared" si="4"/>
        <v>1</v>
      </c>
      <c r="D26" s="46">
        <f>SUM(D13:D25)</f>
        <v>4033654.0300000003</v>
      </c>
      <c r="E26" s="47">
        <f t="shared" si="2"/>
        <v>1</v>
      </c>
      <c r="F26" s="48">
        <f t="shared" si="3"/>
        <v>0.3921769482513362</v>
      </c>
    </row>
    <row r="27" spans="1:6" ht="15.5" thickBot="1" x14ac:dyDescent="0.4">
      <c r="A27" s="45" t="s">
        <v>28</v>
      </c>
      <c r="B27" s="46">
        <v>0</v>
      </c>
      <c r="C27" s="43" t="str">
        <f t="shared" si="4"/>
        <v/>
      </c>
      <c r="D27" s="46">
        <v>0</v>
      </c>
      <c r="E27" s="47" t="str">
        <f t="shared" si="2"/>
        <v/>
      </c>
      <c r="F27" s="48" t="str">
        <f t="shared" si="3"/>
        <v/>
      </c>
    </row>
    <row r="28" spans="1:6" ht="15.5" thickBot="1" x14ac:dyDescent="0.4">
      <c r="A28" s="49" t="s">
        <v>29</v>
      </c>
      <c r="B28" s="50">
        <f>B26+B27</f>
        <v>2897371.656</v>
      </c>
      <c r="C28" s="51">
        <f t="shared" si="4"/>
        <v>1</v>
      </c>
      <c r="D28" s="50">
        <f>D26+D27</f>
        <v>4033654.0300000003</v>
      </c>
      <c r="E28" s="51">
        <f t="shared" si="2"/>
        <v>1</v>
      </c>
      <c r="F28" s="52">
        <f t="shared" si="3"/>
        <v>0.3921769482513362</v>
      </c>
    </row>
    <row r="29" spans="1:6" ht="16" thickTop="1" thickBot="1" x14ac:dyDescent="0.4">
      <c r="A29" s="17" t="s">
        <v>13</v>
      </c>
      <c r="B29" s="18" t="s">
        <v>30</v>
      </c>
      <c r="C29" s="5"/>
      <c r="D29" s="5"/>
      <c r="E29" s="5"/>
      <c r="F29" s="5"/>
    </row>
    <row r="30" spans="1:6" ht="15" thickTop="1" x14ac:dyDescent="0.35">
      <c r="A30" s="19" t="s">
        <v>15</v>
      </c>
      <c r="B30" s="20">
        <f>B10</f>
        <v>2020</v>
      </c>
      <c r="C30" s="21" t="s">
        <v>16</v>
      </c>
      <c r="D30" s="20">
        <f>D10</f>
        <v>2021</v>
      </c>
      <c r="E30" s="21" t="s">
        <v>16</v>
      </c>
      <c r="F30" s="22" t="s">
        <v>17</v>
      </c>
    </row>
    <row r="31" spans="1:6" ht="15" thickBot="1" x14ac:dyDescent="0.4">
      <c r="A31" s="23"/>
      <c r="B31" s="24"/>
      <c r="C31" s="53"/>
      <c r="D31" s="24"/>
      <c r="E31" s="53"/>
      <c r="F31" s="26"/>
    </row>
    <row r="32" spans="1:6" ht="15" x14ac:dyDescent="0.35">
      <c r="A32" s="27" t="s">
        <v>31</v>
      </c>
      <c r="B32" s="28"/>
      <c r="C32" s="28"/>
      <c r="D32" s="28"/>
      <c r="E32" s="28"/>
      <c r="F32" s="29"/>
    </row>
    <row r="33" spans="1:6" ht="15" x14ac:dyDescent="0.35">
      <c r="A33" s="30" t="s">
        <v>19</v>
      </c>
      <c r="B33" s="54">
        <v>0</v>
      </c>
      <c r="C33" s="32"/>
      <c r="D33" s="54">
        <v>0</v>
      </c>
      <c r="E33" s="32" t="str">
        <f t="shared" ref="E33:E38" si="5">IF(AND(D33&lt;&gt;0,D$48&lt;&gt;0),(D33/D$48),"")</f>
        <v/>
      </c>
      <c r="F33" s="33" t="str">
        <f t="shared" ref="F33:F38" si="6">IF(AND(D33&lt;&gt;0,B33&lt;&gt;0),((D33/B33)-1),"")</f>
        <v/>
      </c>
    </row>
    <row r="34" spans="1:6" ht="15" x14ac:dyDescent="0.35">
      <c r="A34" s="34" t="s">
        <v>20</v>
      </c>
      <c r="B34" s="55">
        <v>136607.394</v>
      </c>
      <c r="C34" s="36">
        <f>IF(AND(B34&lt;&gt;0,B$48&lt;&gt;0),(B34/B$48),"")</f>
        <v>0.14585651376119518</v>
      </c>
      <c r="D34" s="55">
        <v>113157.269</v>
      </c>
      <c r="E34" s="36">
        <f t="shared" si="5"/>
        <v>4.7982652436235722E-2</v>
      </c>
      <c r="F34" s="37">
        <f t="shared" si="6"/>
        <v>-0.17166073016516226</v>
      </c>
    </row>
    <row r="35" spans="1:6" ht="15" x14ac:dyDescent="0.35">
      <c r="A35" s="34" t="s">
        <v>21</v>
      </c>
      <c r="B35" s="55">
        <v>0</v>
      </c>
      <c r="C35" s="36" t="str">
        <f>IF(AND(B35&lt;&gt;0,B$48&lt;&gt;0),(B35/B$48),"")</f>
        <v/>
      </c>
      <c r="D35" s="55">
        <v>509495.56900000002</v>
      </c>
      <c r="E35" s="36">
        <f t="shared" si="5"/>
        <v>0.21604399806723115</v>
      </c>
      <c r="F35" s="37" t="str">
        <f t="shared" si="6"/>
        <v/>
      </c>
    </row>
    <row r="36" spans="1:6" ht="15" x14ac:dyDescent="0.35">
      <c r="A36" s="34" t="s">
        <v>22</v>
      </c>
      <c r="B36" s="55">
        <v>799980.15</v>
      </c>
      <c r="C36" s="36">
        <f>IF(AND(B36&lt;&gt;0,B$48&lt;&gt;0),(B36/B$48),"")</f>
        <v>0.85414348623880487</v>
      </c>
      <c r="D36" s="55">
        <v>1724316.848</v>
      </c>
      <c r="E36" s="36">
        <f t="shared" si="5"/>
        <v>0.73117084513173869</v>
      </c>
      <c r="F36" s="37">
        <f t="shared" si="6"/>
        <v>1.155449542091763</v>
      </c>
    </row>
    <row r="37" spans="1:6" ht="15" x14ac:dyDescent="0.35">
      <c r="A37" s="34" t="s">
        <v>23</v>
      </c>
      <c r="B37" s="55">
        <v>0</v>
      </c>
      <c r="C37" s="36" t="str">
        <f>IF(AND(B37&lt;&gt;0,B$48&lt;&gt;0),(B37/B$48),"")</f>
        <v/>
      </c>
      <c r="D37" s="55">
        <v>0</v>
      </c>
      <c r="E37" s="36" t="str">
        <f t="shared" si="5"/>
        <v/>
      </c>
      <c r="F37" s="37" t="str">
        <f t="shared" si="6"/>
        <v/>
      </c>
    </row>
    <row r="38" spans="1:6" ht="15" x14ac:dyDescent="0.35">
      <c r="A38" s="34" t="s">
        <v>24</v>
      </c>
      <c r="B38" s="55">
        <v>0</v>
      </c>
      <c r="C38" s="36" t="str">
        <f>IF(AND(B38&lt;&gt;0,B$48&lt;&gt;0),(B38/B$48),"")</f>
        <v/>
      </c>
      <c r="D38" s="55">
        <v>0</v>
      </c>
      <c r="E38" s="36" t="str">
        <f t="shared" si="5"/>
        <v/>
      </c>
      <c r="F38" s="37" t="str">
        <f t="shared" si="6"/>
        <v/>
      </c>
    </row>
    <row r="39" spans="1:6" ht="15" x14ac:dyDescent="0.35">
      <c r="A39" s="38" t="s">
        <v>25</v>
      </c>
      <c r="B39" s="39"/>
      <c r="C39" s="39"/>
      <c r="D39" s="39"/>
      <c r="E39" s="39"/>
      <c r="F39" s="40"/>
    </row>
    <row r="40" spans="1:6" ht="15" x14ac:dyDescent="0.35">
      <c r="A40" s="30" t="s">
        <v>26</v>
      </c>
      <c r="B40" s="31"/>
      <c r="C40" s="56"/>
      <c r="D40" s="31">
        <v>0</v>
      </c>
      <c r="E40" s="32" t="str">
        <f t="shared" ref="E40:E48" si="7">IF(AND(D40&lt;&gt;0,D$48&lt;&gt;0),(D40/D$48),"")</f>
        <v/>
      </c>
      <c r="F40" s="33" t="str">
        <f t="shared" ref="F40:F48" si="8">IF(AND(D40&lt;&gt;0,B40&lt;&gt;0),((D40/B40)-1),"")</f>
        <v/>
      </c>
    </row>
    <row r="41" spans="1:6" ht="15" x14ac:dyDescent="0.35">
      <c r="A41" s="34" t="s">
        <v>20</v>
      </c>
      <c r="B41" s="35"/>
      <c r="C41" s="57" t="str">
        <f>IF(AND(B41&lt;&gt;0,B$48&lt;&gt;0),(B41/B$48),"")</f>
        <v/>
      </c>
      <c r="D41" s="35">
        <v>9760.4639999999999</v>
      </c>
      <c r="E41" s="36">
        <f t="shared" si="7"/>
        <v>4.1387792040862266E-3</v>
      </c>
      <c r="F41" s="37" t="str">
        <f t="shared" si="8"/>
        <v/>
      </c>
    </row>
    <row r="42" spans="1:6" ht="15" x14ac:dyDescent="0.35">
      <c r="A42" s="34" t="s">
        <v>21</v>
      </c>
      <c r="B42" s="35"/>
      <c r="C42" s="57" t="str">
        <f t="shared" ref="C42:C47" si="9">IF(AND(B42&lt;&gt;0,B$48&lt;&gt;0),(B42/B$48),"")</f>
        <v/>
      </c>
      <c r="D42" s="35">
        <v>0</v>
      </c>
      <c r="E42" s="36" t="str">
        <f t="shared" si="7"/>
        <v/>
      </c>
      <c r="F42" s="37" t="str">
        <f t="shared" si="8"/>
        <v/>
      </c>
    </row>
    <row r="43" spans="1:6" ht="15" x14ac:dyDescent="0.35">
      <c r="A43" s="34" t="s">
        <v>22</v>
      </c>
      <c r="B43" s="35"/>
      <c r="C43" s="57" t="str">
        <f t="shared" si="9"/>
        <v/>
      </c>
      <c r="D43" s="35">
        <v>1565.26</v>
      </c>
      <c r="E43" s="36">
        <f t="shared" si="7"/>
        <v>6.6372516070834409E-4</v>
      </c>
      <c r="F43" s="37" t="str">
        <f t="shared" si="8"/>
        <v/>
      </c>
    </row>
    <row r="44" spans="1:6" ht="15" x14ac:dyDescent="0.35">
      <c r="A44" s="34" t="s">
        <v>23</v>
      </c>
      <c r="B44" s="35"/>
      <c r="C44" s="57" t="str">
        <f t="shared" si="9"/>
        <v/>
      </c>
      <c r="D44" s="35">
        <v>0</v>
      </c>
      <c r="E44" s="36" t="str">
        <f t="shared" si="7"/>
        <v/>
      </c>
      <c r="F44" s="37" t="str">
        <f t="shared" si="8"/>
        <v/>
      </c>
    </row>
    <row r="45" spans="1:6" ht="15.5" thickBot="1" x14ac:dyDescent="0.4">
      <c r="A45" s="41" t="s">
        <v>24</v>
      </c>
      <c r="B45" s="42"/>
      <c r="C45" s="58" t="str">
        <f t="shared" si="9"/>
        <v/>
      </c>
      <c r="D45" s="35">
        <v>0</v>
      </c>
      <c r="E45" s="43" t="str">
        <f t="shared" si="7"/>
        <v/>
      </c>
      <c r="F45" s="44" t="str">
        <f t="shared" si="8"/>
        <v/>
      </c>
    </row>
    <row r="46" spans="1:6" ht="15.5" thickBot="1" x14ac:dyDescent="0.4">
      <c r="A46" s="45" t="s">
        <v>27</v>
      </c>
      <c r="B46" s="59">
        <f>SUM(B33:B45)</f>
        <v>936587.54399999999</v>
      </c>
      <c r="C46" s="60">
        <f t="shared" si="9"/>
        <v>1</v>
      </c>
      <c r="D46" s="46">
        <f>SUM(D33:D45)</f>
        <v>2358295.4099999997</v>
      </c>
      <c r="E46" s="47">
        <f t="shared" si="7"/>
        <v>1</v>
      </c>
      <c r="F46" s="48">
        <f t="shared" si="8"/>
        <v>1.5179658058745225</v>
      </c>
    </row>
    <row r="47" spans="1:6" ht="15.5" thickBot="1" x14ac:dyDescent="0.4">
      <c r="A47" s="45" t="s">
        <v>28</v>
      </c>
      <c r="B47" s="46">
        <v>0</v>
      </c>
      <c r="C47" s="61" t="str">
        <f t="shared" si="9"/>
        <v/>
      </c>
      <c r="D47" s="46">
        <v>0</v>
      </c>
      <c r="E47" s="47" t="str">
        <f t="shared" si="7"/>
        <v/>
      </c>
      <c r="F47" s="48" t="str">
        <f t="shared" si="8"/>
        <v/>
      </c>
    </row>
    <row r="48" spans="1:6" ht="15.5" thickBot="1" x14ac:dyDescent="0.4">
      <c r="A48" s="49" t="s">
        <v>29</v>
      </c>
      <c r="B48" s="50">
        <f>B46+B47</f>
        <v>936587.54399999999</v>
      </c>
      <c r="C48" s="62">
        <f>IF(AND(B48&lt;&gt;0,B$48&lt;&gt;0),(B48/B$48),"")</f>
        <v>1</v>
      </c>
      <c r="D48" s="50">
        <f>D46+D47</f>
        <v>2358295.4099999997</v>
      </c>
      <c r="E48" s="63">
        <f t="shared" si="7"/>
        <v>1</v>
      </c>
      <c r="F48" s="64">
        <f t="shared" si="8"/>
        <v>1.5179658058745225</v>
      </c>
    </row>
    <row r="49" spans="1:6" ht="16" thickTop="1" thickBot="1" x14ac:dyDescent="0.4">
      <c r="A49" s="17" t="s">
        <v>13</v>
      </c>
      <c r="B49" s="18" t="s">
        <v>32</v>
      </c>
      <c r="C49" s="5"/>
      <c r="D49" s="5"/>
      <c r="E49" s="5"/>
      <c r="F49" s="5"/>
    </row>
    <row r="50" spans="1:6" ht="16" thickTop="1" thickBot="1" x14ac:dyDescent="0.4">
      <c r="A50" s="65" t="s">
        <v>33</v>
      </c>
      <c r="B50" s="66"/>
      <c r="C50" s="67">
        <f>B10</f>
        <v>2020</v>
      </c>
      <c r="D50" s="67">
        <f>D10</f>
        <v>2021</v>
      </c>
      <c r="E50" s="68" t="s">
        <v>17</v>
      </c>
      <c r="F50" s="69"/>
    </row>
    <row r="51" spans="1:6" ht="15" x14ac:dyDescent="0.35">
      <c r="A51" s="70" t="s">
        <v>34</v>
      </c>
      <c r="B51" s="71"/>
      <c r="C51" s="72">
        <v>233240.36199999999</v>
      </c>
      <c r="D51" s="72">
        <v>650684.82900000003</v>
      </c>
      <c r="E51" s="73">
        <f t="shared" ref="E51:E64" si="10">IF(AND(D51&lt;&gt;0,C51&lt;&gt;0),((D51/C51)-1),"")</f>
        <v>1.7897608433655239</v>
      </c>
      <c r="F51" s="74"/>
    </row>
    <row r="52" spans="1:6" ht="15" x14ac:dyDescent="0.35">
      <c r="A52" s="4" t="s">
        <v>35</v>
      </c>
      <c r="B52" s="75"/>
      <c r="C52" s="72">
        <v>211783.48</v>
      </c>
      <c r="D52" s="72">
        <v>174707.85399999999</v>
      </c>
      <c r="E52" s="76">
        <f t="shared" si="10"/>
        <v>-0.17506382461937076</v>
      </c>
      <c r="F52" s="77"/>
    </row>
    <row r="53" spans="1:6" ht="15" x14ac:dyDescent="0.35">
      <c r="A53" s="4" t="s">
        <v>36</v>
      </c>
      <c r="B53" s="75"/>
      <c r="C53" s="72">
        <v>1082068.7309999999</v>
      </c>
      <c r="D53" s="72">
        <v>1524259.4269999999</v>
      </c>
      <c r="E53" s="76">
        <f t="shared" si="10"/>
        <v>0.40865305810227692</v>
      </c>
      <c r="F53" s="77"/>
    </row>
    <row r="54" spans="1:6" ht="15" x14ac:dyDescent="0.35">
      <c r="A54" s="4" t="s">
        <v>37</v>
      </c>
      <c r="B54" s="75"/>
      <c r="C54" s="72">
        <v>3960165.338</v>
      </c>
      <c r="D54" s="72">
        <v>6015490.6210000003</v>
      </c>
      <c r="E54" s="76">
        <f t="shared" si="10"/>
        <v>0.51899986681818699</v>
      </c>
      <c r="F54" s="77"/>
    </row>
    <row r="55" spans="1:6" ht="15" x14ac:dyDescent="0.35">
      <c r="A55" s="4" t="s">
        <v>38</v>
      </c>
      <c r="B55" s="75"/>
      <c r="C55" s="72">
        <v>3231147.9330000002</v>
      </c>
      <c r="D55" s="72">
        <v>3960165.338</v>
      </c>
      <c r="E55" s="76">
        <f t="shared" si="10"/>
        <v>0.22562179761393164</v>
      </c>
      <c r="F55" s="77"/>
    </row>
    <row r="56" spans="1:6" ht="15" x14ac:dyDescent="0.35">
      <c r="A56" s="4" t="s">
        <v>39</v>
      </c>
      <c r="B56" s="75"/>
      <c r="C56" s="72">
        <v>32880.925000000003</v>
      </c>
      <c r="D56" s="72">
        <v>29961.384999999998</v>
      </c>
      <c r="E56" s="76">
        <f t="shared" si="10"/>
        <v>-8.8791297690074211E-2</v>
      </c>
      <c r="F56" s="77"/>
    </row>
    <row r="57" spans="1:6" ht="15" x14ac:dyDescent="0.35">
      <c r="A57" s="4" t="s">
        <v>40</v>
      </c>
      <c r="B57" s="75"/>
      <c r="C57" s="72">
        <v>0</v>
      </c>
      <c r="D57" s="72">
        <v>3168.491</v>
      </c>
      <c r="E57" s="76" t="str">
        <f t="shared" si="10"/>
        <v/>
      </c>
      <c r="F57" s="77"/>
    </row>
    <row r="58" spans="1:6" ht="15" x14ac:dyDescent="0.35">
      <c r="A58" s="4" t="s">
        <v>41</v>
      </c>
      <c r="B58" s="75"/>
      <c r="C58" s="72">
        <v>75897.481</v>
      </c>
      <c r="D58" s="72">
        <v>-1392726.7320000001</v>
      </c>
      <c r="E58" s="76">
        <f t="shared" si="10"/>
        <v>-19.350104821001899</v>
      </c>
      <c r="F58" s="77"/>
    </row>
    <row r="59" spans="1:6" ht="15" x14ac:dyDescent="0.35">
      <c r="A59" s="4" t="s">
        <v>42</v>
      </c>
      <c r="B59" s="75"/>
      <c r="C59" s="72">
        <v>3548584.75</v>
      </c>
      <c r="D59" s="72">
        <v>3622387.5610000002</v>
      </c>
      <c r="E59" s="76">
        <f t="shared" si="10"/>
        <v>2.0797815523498464E-2</v>
      </c>
      <c r="F59" s="77"/>
    </row>
    <row r="60" spans="1:6" ht="15" x14ac:dyDescent="0.35">
      <c r="A60" s="4" t="s">
        <v>43</v>
      </c>
      <c r="B60" s="75"/>
      <c r="C60" s="72">
        <v>198008.26690000002</v>
      </c>
      <c r="D60" s="72">
        <v>300774.53104999999</v>
      </c>
      <c r="E60" s="76">
        <f t="shared" si="10"/>
        <v>0.51899986681818677</v>
      </c>
      <c r="F60" s="77"/>
    </row>
    <row r="61" spans="1:6" ht="15" x14ac:dyDescent="0.35">
      <c r="A61" s="4" t="s">
        <v>44</v>
      </c>
      <c r="B61" s="75"/>
      <c r="C61" s="72">
        <v>3509190.8360000001</v>
      </c>
      <c r="D61" s="72">
        <v>2493941.6340000001</v>
      </c>
      <c r="E61" s="76">
        <f t="shared" si="10"/>
        <v>-0.28931148217554503</v>
      </c>
      <c r="F61" s="77"/>
    </row>
    <row r="62" spans="1:6" ht="15" x14ac:dyDescent="0.35">
      <c r="A62" s="4" t="s">
        <v>45</v>
      </c>
      <c r="B62" s="75"/>
      <c r="C62" s="72">
        <v>4489115.92</v>
      </c>
      <c r="D62" s="72">
        <v>6713298.8250000002</v>
      </c>
      <c r="E62" s="76">
        <f t="shared" si="10"/>
        <v>0.49546123215281113</v>
      </c>
      <c r="F62" s="77"/>
    </row>
    <row r="63" spans="1:6" ht="15" x14ac:dyDescent="0.35">
      <c r="A63" s="4" t="s">
        <v>46</v>
      </c>
      <c r="B63" s="75"/>
      <c r="C63" s="72">
        <v>5383781.7029999997</v>
      </c>
      <c r="D63" s="72">
        <v>7850032.9950000001</v>
      </c>
      <c r="E63" s="76">
        <f t="shared" si="10"/>
        <v>0.45808902144485786</v>
      </c>
      <c r="F63" s="77"/>
    </row>
    <row r="64" spans="1:6" ht="15" x14ac:dyDescent="0.35">
      <c r="A64" s="4" t="s">
        <v>47</v>
      </c>
      <c r="B64" s="75"/>
      <c r="C64" s="72">
        <v>1795646.368</v>
      </c>
      <c r="D64" s="72">
        <v>1243228.6610000001</v>
      </c>
      <c r="E64" s="76">
        <f t="shared" si="10"/>
        <v>-0.30764281700705109</v>
      </c>
      <c r="F64" s="77"/>
    </row>
    <row r="65" spans="1:6" ht="15" x14ac:dyDescent="0.35">
      <c r="A65" s="4" t="s">
        <v>48</v>
      </c>
      <c r="B65" s="75"/>
      <c r="C65" s="72">
        <f>C63-C64</f>
        <v>3588135.335</v>
      </c>
      <c r="D65" s="72">
        <f>D63-D64</f>
        <v>6606804.3339999998</v>
      </c>
      <c r="E65" s="76">
        <f>IF(AND(D65&lt;&gt;0,C65&lt;&gt;0),((D65/C65)-1),"")</f>
        <v>0.84129184581049254</v>
      </c>
      <c r="F65" s="77"/>
    </row>
    <row r="66" spans="1:6" ht="15.5" thickBot="1" x14ac:dyDescent="0.4">
      <c r="A66" s="12" t="s">
        <v>49</v>
      </c>
      <c r="B66" s="78"/>
      <c r="C66" s="79">
        <f>IF(C62&lt;&gt;0,C63/C62,"")</f>
        <v>1.1992966541616952</v>
      </c>
      <c r="D66" s="79">
        <f>IF(D62&lt;&gt;0,D63/D62,"")</f>
        <v>1.1693257219188362</v>
      </c>
      <c r="E66" s="80"/>
      <c r="F66" s="81"/>
    </row>
    <row r="67" spans="1:6" ht="15" thickTop="1" x14ac:dyDescent="0.35"/>
  </sheetData>
  <mergeCells count="36">
    <mergeCell ref="E65:F65"/>
    <mergeCell ref="E66:F66"/>
    <mergeCell ref="E59:F59"/>
    <mergeCell ref="E60:F60"/>
    <mergeCell ref="E61:F61"/>
    <mergeCell ref="E62:F62"/>
    <mergeCell ref="E63:F63"/>
    <mergeCell ref="E64:F64"/>
    <mergeCell ref="E53:F53"/>
    <mergeCell ref="E54:F54"/>
    <mergeCell ref="E55:F55"/>
    <mergeCell ref="E56:F56"/>
    <mergeCell ref="E57:F57"/>
    <mergeCell ref="E58:F58"/>
    <mergeCell ref="A32:F32"/>
    <mergeCell ref="A39:F39"/>
    <mergeCell ref="A50:B50"/>
    <mergeCell ref="E50:F50"/>
    <mergeCell ref="E51:F51"/>
    <mergeCell ref="E52:F52"/>
    <mergeCell ref="A12:F12"/>
    <mergeCell ref="A19:F19"/>
    <mergeCell ref="A30:A31"/>
    <mergeCell ref="B30:B31"/>
    <mergeCell ref="C30:C31"/>
    <mergeCell ref="D30:D31"/>
    <mergeCell ref="E30:E31"/>
    <mergeCell ref="F30:F31"/>
    <mergeCell ref="B1:F1"/>
    <mergeCell ref="B5:E5"/>
    <mergeCell ref="A10:A11"/>
    <mergeCell ref="B10:B11"/>
    <mergeCell ref="C10:C11"/>
    <mergeCell ref="D10:D11"/>
    <mergeCell ref="E10:E11"/>
    <mergeCell ref="F10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Ndeye Sokhna TOP</dc:creator>
  <cp:lastModifiedBy>Ndeye Sokhna TOP</cp:lastModifiedBy>
  <dcterms:created xsi:type="dcterms:W3CDTF">2026-09-25T10:34:43Z</dcterms:created>
  <dcterms:modified xsi:type="dcterms:W3CDTF">2026-09-25T10:38:54Z</dcterms:modified>
</cp:coreProperties>
</file>